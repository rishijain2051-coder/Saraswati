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VIP\DESKTOP\"/>
    </mc:Choice>
  </mc:AlternateContent>
  <xr:revisionPtr revIDLastSave="0" documentId="13_ncr:1_{F8DC4142-459C-4310-9812-891F455B95C3}" xr6:coauthVersionLast="47" xr6:coauthVersionMax="47" xr10:uidLastSave="{00000000-0000-0000-0000-000000000000}"/>
  <bookViews>
    <workbookView xWindow="-108" yWindow="-108" windowWidth="23256" windowHeight="12456" activeTab="2" xr2:uid="{F9674A4A-3AFA-45BC-9A15-167377FC0B21}"/>
  </bookViews>
  <sheets>
    <sheet name="example - SUMMARY SHEET" sheetId="3" r:id="rId1"/>
    <sheet name="example - COST DETAIL" sheetId="1" r:id="rId2"/>
    <sheet name="example - COST 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3" l="1"/>
  <c r="F30" i="3"/>
  <c r="D21" i="3"/>
  <c r="D24" i="3"/>
  <c r="F16" i="3"/>
  <c r="G12" i="3"/>
  <c r="D10" i="2" l="1"/>
  <c r="D8" i="2"/>
  <c r="D7" i="2"/>
  <c r="D6" i="2"/>
  <c r="D5" i="2"/>
  <c r="D4" i="2"/>
  <c r="E105" i="1" l="1"/>
  <c r="E98" i="1"/>
  <c r="I55" i="1"/>
  <c r="I53" i="1"/>
  <c r="G53" i="1"/>
  <c r="H52" i="1"/>
  <c r="G52" i="1"/>
  <c r="G88" i="1"/>
  <c r="G84" i="1"/>
  <c r="G85" i="1"/>
  <c r="G86" i="1"/>
  <c r="G83" i="1"/>
  <c r="G74" i="1"/>
  <c r="G75" i="1"/>
  <c r="G76" i="1"/>
  <c r="G77" i="1"/>
  <c r="G73" i="1"/>
  <c r="G79" i="1" s="1"/>
  <c r="G62" i="1"/>
  <c r="G63" i="1"/>
  <c r="G64" i="1"/>
  <c r="G65" i="1"/>
  <c r="G66" i="1"/>
  <c r="G67" i="1"/>
  <c r="G61" i="1"/>
  <c r="G69" i="1" s="1"/>
  <c r="G47" i="1"/>
  <c r="I47" i="1" s="1"/>
  <c r="I49" i="1" s="1"/>
  <c r="G42" i="1"/>
  <c r="I42" i="1" s="1"/>
  <c r="G41" i="1"/>
  <c r="I41" i="1" s="1"/>
  <c r="I44" i="1" l="1"/>
  <c r="I36" i="1"/>
  <c r="G28" i="1"/>
  <c r="J28" i="1" s="1"/>
  <c r="J30" i="1" s="1"/>
  <c r="J20" i="1"/>
  <c r="L20" i="1" s="1"/>
  <c r="N20" i="1" s="1"/>
  <c r="N22" i="1" s="1"/>
  <c r="M9" i="1" l="1"/>
  <c r="O9" i="1" s="1"/>
  <c r="M14" i="1"/>
  <c r="O14" i="1" s="1"/>
  <c r="M13" i="1"/>
  <c r="O13" i="1" s="1"/>
  <c r="M12" i="1"/>
  <c r="O12" i="1" s="1"/>
  <c r="M11" i="1"/>
  <c r="O11" i="1" s="1"/>
  <c r="M10" i="1"/>
  <c r="O10" i="1" s="1"/>
  <c r="O16" i="1" l="1"/>
  <c r="D3" i="2" s="1"/>
  <c r="D9" i="2" s="1"/>
  <c r="D11" i="2" l="1"/>
  <c r="D12" i="2" s="1"/>
  <c r="F9" i="2"/>
  <c r="G9" i="2" s="1"/>
  <c r="L5" i="2"/>
  <c r="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tc={BC3C2B17-E885-403D-8572-C4946B393297}</author>
    <author>tc={28765C65-668A-49BD-986F-2CEABD32C9EB}</author>
    <author>tc={9D7B4188-B41E-4118-B546-7931D92AF7E9}</author>
    <author>tc={BDF91C32-75F2-4F49-8226-D2745FAEB8AD}</author>
    <author>tc={AA138D81-9F7D-4509-AEF6-13003E6DCD2C}</author>
    <author>tc={EE856C2B-B3BE-46AD-8F42-66270E3F1810}</author>
  </authors>
  <commentList>
    <comment ref="F9" authorId="0" shapeId="0" xr:uid="{BC3C2B17-E885-403D-8572-C4946B3932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FOB FACTORY EXP</t>
      </text>
    </comment>
    <comment ref="G9" authorId="1" shapeId="0" xr:uid="{28765C65-668A-49BD-986F-2CEABD32C9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NON FOB MARGIN
</t>
      </text>
    </comment>
    <comment ref="B11" authorId="2" shapeId="0" xr:uid="{9D7B4188-B41E-4118-B546-7931D92AF7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15% is variable can be changed
</t>
      </text>
    </comment>
    <comment ref="D11" authorId="3" shapeId="0" xr:uid="{BDF91C32-75F2-4F49-8226-D2745FAEB8A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any % but I have took 15% as example</t>
      </text>
    </comment>
    <comment ref="B12" authorId="4" shapeId="0" xr:uid="{AA138D81-9F7D-4509-AEF6-13003E6DCD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SAME AS FACTORY EXPENSES
</t>
      </text>
    </comment>
    <comment ref="D12" authorId="5" shapeId="0" xr:uid="{EE856C2B-B3BE-46AD-8F42-66270E3F1810}">
      <text>
        <t>[Threaded comment]
Your version of Excel allows you to read this threaded comment; however, any edits to it will get removed if the file is opened in a newer version of Excel. Learn more: https://go.microsoft.com/fwlink/?linkid=870924
Comment:
    AME AS ABOVE</t>
      </text>
    </comment>
  </commentList>
</comments>
</file>

<file path=xl/sharedStrings.xml><?xml version="1.0" encoding="utf-8"?>
<sst xmlns="http://schemas.openxmlformats.org/spreadsheetml/2006/main" count="282" uniqueCount="111">
  <si>
    <t xml:space="preserve">CRAZY ALMIRAH // AB-00123 </t>
  </si>
  <si>
    <t>MAIN COMPONENTS</t>
  </si>
  <si>
    <t>WOOD</t>
  </si>
  <si>
    <t>TOP</t>
  </si>
  <si>
    <t>SIDE</t>
  </si>
  <si>
    <t>PARTITION</t>
  </si>
  <si>
    <t>SHELF</t>
  </si>
  <si>
    <t>BOTTOM</t>
  </si>
  <si>
    <t>ACTUALS</t>
  </si>
  <si>
    <t>L</t>
  </si>
  <si>
    <t>W</t>
  </si>
  <si>
    <t>H</t>
  </si>
  <si>
    <t>IN INCHES</t>
  </si>
  <si>
    <t>COST</t>
  </si>
  <si>
    <t>WASTAGE%</t>
  </si>
  <si>
    <t>QTY</t>
  </si>
  <si>
    <t>USING CFT</t>
  </si>
  <si>
    <t>CFT</t>
  </si>
  <si>
    <t>COST PER CFT</t>
  </si>
  <si>
    <t>COMPONENT TOTAL</t>
  </si>
  <si>
    <t>DOOR FRAME</t>
  </si>
  <si>
    <t>DOOR PANEL</t>
  </si>
  <si>
    <t xml:space="preserve">MANGO WOOD </t>
  </si>
  <si>
    <t>CFT WISE COST</t>
  </si>
  <si>
    <t>OAK WOOD</t>
  </si>
  <si>
    <t>SQFT WISE COST</t>
  </si>
  <si>
    <t>Q</t>
  </si>
  <si>
    <t>WASTAGE</t>
  </si>
  <si>
    <t>SQFT</t>
  </si>
  <si>
    <t>USING SQFT</t>
  </si>
  <si>
    <t>COST PER SQFT</t>
  </si>
  <si>
    <t>SUB COMPONENTS</t>
  </si>
  <si>
    <t>IRON</t>
  </si>
  <si>
    <t>POWDERCOATED IRON LEGS</t>
  </si>
  <si>
    <t>ACTUAL W</t>
  </si>
  <si>
    <t>REQ W</t>
  </si>
  <si>
    <t>COST PER W</t>
  </si>
  <si>
    <t>KGS</t>
  </si>
  <si>
    <t>UNIT</t>
  </si>
  <si>
    <t>POWDERCOATED IRON FITTING</t>
  </si>
  <si>
    <t>PCS</t>
  </si>
  <si>
    <t>COST PER UNIT</t>
  </si>
  <si>
    <t>PLY</t>
  </si>
  <si>
    <t>NAME</t>
  </si>
  <si>
    <t>PWDRCTDLGS/1452</t>
  </si>
  <si>
    <t>PWDRFTG/133</t>
  </si>
  <si>
    <t>PLY 6MM</t>
  </si>
  <si>
    <t>BACK PLY</t>
  </si>
  <si>
    <t>BOTTOM PLY</t>
  </si>
  <si>
    <t>PLY 8MM</t>
  </si>
  <si>
    <t>SQMT WISE COST</t>
  </si>
  <si>
    <t>(IN INCH)</t>
  </si>
  <si>
    <t>(IN CM)</t>
  </si>
  <si>
    <t>BOTTOM SUPPORT</t>
  </si>
  <si>
    <t>SQM</t>
  </si>
  <si>
    <t>COST PER SQM</t>
  </si>
  <si>
    <t xml:space="preserve">WEIGHT WISE </t>
  </si>
  <si>
    <t>QTY WISE</t>
  </si>
  <si>
    <t>HARDWARE</t>
  </si>
  <si>
    <t>SANDING PAPER</t>
  </si>
  <si>
    <t>11' HANDLE</t>
  </si>
  <si>
    <t>1.5' SCREW</t>
  </si>
  <si>
    <t>F35 NAILS</t>
  </si>
  <si>
    <t>2' BRASS KNOB</t>
  </si>
  <si>
    <t>60N PAPER</t>
  </si>
  <si>
    <t>120N PAPER</t>
  </si>
  <si>
    <t>10' CHAIN</t>
  </si>
  <si>
    <t>CPU</t>
  </si>
  <si>
    <t>SET</t>
  </si>
  <si>
    <t>POLISHING</t>
  </si>
  <si>
    <t>THINNER</t>
  </si>
  <si>
    <t>SEALER</t>
  </si>
  <si>
    <t>LACQUER</t>
  </si>
  <si>
    <t>ROUGH CLOTH</t>
  </si>
  <si>
    <t>LTR</t>
  </si>
  <si>
    <t>PACKAGING</t>
  </si>
  <si>
    <t>BUBBLE</t>
  </si>
  <si>
    <t>FOAM</t>
  </si>
  <si>
    <t>CORNERS</t>
  </si>
  <si>
    <t>MTR</t>
  </si>
  <si>
    <t>CARTON 7PLY</t>
  </si>
  <si>
    <t>DOOR GLASS</t>
  </si>
  <si>
    <t>GLASS 4MM</t>
  </si>
  <si>
    <t>LABOUR COSTS</t>
  </si>
  <si>
    <t>CNC LABOUR</t>
  </si>
  <si>
    <t>CARVING LABOUR</t>
  </si>
  <si>
    <t>MANUFACTURING L</t>
  </si>
  <si>
    <t>POLISHING LABOUR</t>
  </si>
  <si>
    <t>PACKAGING LAB</t>
  </si>
  <si>
    <t>LOADING LABOUR</t>
  </si>
  <si>
    <t>FORWARDING COST</t>
  </si>
  <si>
    <t>CHA</t>
  </si>
  <si>
    <t>FORWARDER</t>
  </si>
  <si>
    <t>ICD</t>
  </si>
  <si>
    <t>MAIN C</t>
  </si>
  <si>
    <t>TOTALS</t>
  </si>
  <si>
    <t>COMPONENTS</t>
  </si>
  <si>
    <t>SUB C</t>
  </si>
  <si>
    <t>PACKING</t>
  </si>
  <si>
    <t>LABOUR</t>
  </si>
  <si>
    <t>FORWARDING</t>
  </si>
  <si>
    <t>FACTORY EXPENSES 15%</t>
  </si>
  <si>
    <t>MARGIN 15%</t>
  </si>
  <si>
    <t>EX FACTORY COST</t>
  </si>
  <si>
    <t>FOB COST</t>
  </si>
  <si>
    <t>NON-FOB COST</t>
  </si>
  <si>
    <t>CRAZY ALMIRAH // AB-00123 // 10 PCS</t>
  </si>
  <si>
    <t>TOTAL</t>
  </si>
  <si>
    <t>IN INCH</t>
  </si>
  <si>
    <t>IN CM</t>
  </si>
  <si>
    <t>SQMT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</si>
</sst>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i Jain" id="{2EEE9085-3E8D-49E2-A8AA-48A3A66D3172}" userId="87ccdb34adfac22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7-15T11:25:06.42" personId="{2EEE9085-3E8D-49E2-A8AA-48A3A66D3172}" id="{BC3C2B17-E885-403D-8572-C4946B393297}">
    <text>NON FOB FACTORY EXP</text>
  </threadedComment>
  <threadedComment ref="G9" dT="2026-07-15T11:25:19.80" personId="{2EEE9085-3E8D-49E2-A8AA-48A3A66D3172}" id="{28765C65-668A-49BD-986F-2CEABD32C9EB}">
    <text xml:space="preserve">NON FOB MARGIN
</text>
  </threadedComment>
  <threadedComment ref="B11" dT="2026-07-15T11:17:20.08" personId="{2EEE9085-3E8D-49E2-A8AA-48A3A66D3172}" id="{9D7B4188-B41E-4118-B546-7931D92AF7E9}">
    <text xml:space="preserve">15% is variable can be changed
</text>
  </threadedComment>
  <threadedComment ref="D11" dT="2026-07-15T11:16:56.30" personId="{2EEE9085-3E8D-49E2-A8AA-48A3A66D3172}" id="{BDF91C32-75F2-4F49-8226-D2745FAEB8AD}">
    <text>Can be any % but I have took 15% as example</text>
  </threadedComment>
  <threadedComment ref="B12" dT="2026-07-15T11:21:00.45" personId="{2EEE9085-3E8D-49E2-A8AA-48A3A66D3172}" id="{AA138D81-9F7D-4509-AEF6-13003E6DCD2C}">
    <text xml:space="preserve">SAME AS FACTORY EXPENSES
</text>
  </threadedComment>
  <threadedComment ref="D12" dT="2026-07-15T11:26:17.18" personId="{2EEE9085-3E8D-49E2-A8AA-48A3A66D3172}" id="{EE856C2B-B3BE-46AD-8F42-66270E3F1810}">
    <text>AME AS ABOVE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FE2E-7CE7-43EC-A592-0E0C2D1164D7}">
  <dimension ref="C2:N38"/>
  <sheetViews>
    <sheetView workbookViewId="0">
      <selection activeCell="G16" sqref="G16"/>
    </sheetView>
  </sheetViews>
  <sheetFormatPr defaultRowHeight="14.4" x14ac:dyDescent="0.3"/>
  <cols>
    <col min="3" max="3" width="17.44140625" bestFit="1" customWidth="1"/>
    <col min="9" max="9" width="13.33203125" bestFit="1" customWidth="1"/>
  </cols>
  <sheetData>
    <row r="2" spans="3:14" x14ac:dyDescent="0.3">
      <c r="C2" s="22" t="s">
        <v>106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3:14" x14ac:dyDescent="0.3">
      <c r="C3" s="23" t="s">
        <v>2</v>
      </c>
      <c r="D3" s="23"/>
      <c r="E3" s="4"/>
      <c r="I3" s="25" t="s">
        <v>58</v>
      </c>
      <c r="J3" s="25"/>
    </row>
    <row r="4" spans="3:14" x14ac:dyDescent="0.3">
      <c r="C4" s="24" t="s">
        <v>22</v>
      </c>
      <c r="D4" s="24"/>
      <c r="E4" s="24"/>
      <c r="I4" s="3" t="s">
        <v>43</v>
      </c>
      <c r="J4" s="3" t="s">
        <v>15</v>
      </c>
      <c r="K4" s="3" t="s">
        <v>38</v>
      </c>
    </row>
    <row r="5" spans="3:14" x14ac:dyDescent="0.3">
      <c r="C5" s="3" t="s">
        <v>12</v>
      </c>
      <c r="D5" s="3" t="s">
        <v>9</v>
      </c>
      <c r="E5" s="3" t="s">
        <v>10</v>
      </c>
      <c r="F5" s="3" t="s">
        <v>11</v>
      </c>
      <c r="G5" s="3" t="s">
        <v>17</v>
      </c>
      <c r="I5" t="s">
        <v>60</v>
      </c>
      <c r="J5">
        <v>20</v>
      </c>
      <c r="K5" t="s">
        <v>40</v>
      </c>
    </row>
    <row r="6" spans="3:14" x14ac:dyDescent="0.3">
      <c r="C6" t="s">
        <v>3</v>
      </c>
      <c r="D6">
        <v>27</v>
      </c>
      <c r="E6" s="5">
        <v>38.4</v>
      </c>
      <c r="F6">
        <v>1</v>
      </c>
      <c r="G6" s="7">
        <v>6</v>
      </c>
      <c r="H6" s="7"/>
      <c r="I6" t="s">
        <v>61</v>
      </c>
      <c r="J6">
        <v>300</v>
      </c>
      <c r="K6" t="s">
        <v>40</v>
      </c>
    </row>
    <row r="7" spans="3:14" x14ac:dyDescent="0.3">
      <c r="C7" t="s">
        <v>4</v>
      </c>
      <c r="D7">
        <v>63</v>
      </c>
      <c r="E7" s="5">
        <v>18</v>
      </c>
      <c r="F7">
        <v>1</v>
      </c>
      <c r="G7" s="7">
        <v>13.125</v>
      </c>
      <c r="H7" s="7"/>
      <c r="I7" t="s">
        <v>62</v>
      </c>
      <c r="J7">
        <v>20</v>
      </c>
      <c r="K7" t="s">
        <v>68</v>
      </c>
    </row>
    <row r="8" spans="3:14" x14ac:dyDescent="0.3">
      <c r="C8" t="s">
        <v>5</v>
      </c>
      <c r="D8">
        <v>60</v>
      </c>
      <c r="E8" s="5">
        <v>19.2</v>
      </c>
      <c r="F8">
        <v>1</v>
      </c>
      <c r="G8" s="7">
        <v>6.6666666666666661</v>
      </c>
      <c r="H8" s="7"/>
      <c r="I8" t="s">
        <v>63</v>
      </c>
      <c r="J8">
        <v>10</v>
      </c>
      <c r="K8" t="s">
        <v>40</v>
      </c>
    </row>
    <row r="9" spans="3:14" x14ac:dyDescent="0.3">
      <c r="C9" t="s">
        <v>6</v>
      </c>
      <c r="D9">
        <v>18</v>
      </c>
      <c r="E9" s="5">
        <v>20.399999999999999</v>
      </c>
      <c r="F9">
        <v>1</v>
      </c>
      <c r="G9" s="7">
        <v>8.5</v>
      </c>
      <c r="H9" s="7"/>
      <c r="I9" t="s">
        <v>64</v>
      </c>
      <c r="J9">
        <v>30</v>
      </c>
      <c r="K9" t="s">
        <v>40</v>
      </c>
    </row>
    <row r="10" spans="3:14" x14ac:dyDescent="0.3">
      <c r="C10" t="s">
        <v>7</v>
      </c>
      <c r="D10">
        <v>27</v>
      </c>
      <c r="E10" s="5">
        <v>19.2</v>
      </c>
      <c r="F10">
        <v>1</v>
      </c>
      <c r="G10" s="7">
        <v>3</v>
      </c>
      <c r="H10" s="7"/>
      <c r="I10" t="s">
        <v>65</v>
      </c>
      <c r="J10">
        <v>30</v>
      </c>
      <c r="K10" t="s">
        <v>40</v>
      </c>
    </row>
    <row r="11" spans="3:14" x14ac:dyDescent="0.3">
      <c r="C11" t="s">
        <v>20</v>
      </c>
      <c r="D11">
        <v>60</v>
      </c>
      <c r="E11" s="5">
        <v>15.6</v>
      </c>
      <c r="F11">
        <v>1.5</v>
      </c>
      <c r="G11" s="7">
        <v>8.125</v>
      </c>
      <c r="H11" s="7"/>
      <c r="I11" t="s">
        <v>66</v>
      </c>
      <c r="J11">
        <v>10</v>
      </c>
      <c r="K11" t="s">
        <v>40</v>
      </c>
    </row>
    <row r="12" spans="3:14" x14ac:dyDescent="0.3">
      <c r="E12" s="15" t="s">
        <v>107</v>
      </c>
      <c r="F12" s="15"/>
      <c r="G12" s="7">
        <f>SUM(G6:G11)</f>
        <v>45.416666666666664</v>
      </c>
    </row>
    <row r="13" spans="3:14" x14ac:dyDescent="0.3">
      <c r="C13" s="24" t="s">
        <v>24</v>
      </c>
      <c r="D13" s="24"/>
      <c r="E13" s="24"/>
      <c r="I13" s="25" t="s">
        <v>69</v>
      </c>
      <c r="J13" s="25"/>
    </row>
    <row r="14" spans="3:14" x14ac:dyDescent="0.3">
      <c r="C14" s="3" t="s">
        <v>12</v>
      </c>
      <c r="D14" s="3" t="s">
        <v>9</v>
      </c>
      <c r="E14" s="3" t="s">
        <v>10</v>
      </c>
      <c r="F14" s="3" t="s">
        <v>28</v>
      </c>
      <c r="I14" s="3" t="s">
        <v>43</v>
      </c>
      <c r="J14" s="3" t="s">
        <v>15</v>
      </c>
      <c r="K14" s="3" t="s">
        <v>38</v>
      </c>
    </row>
    <row r="15" spans="3:14" x14ac:dyDescent="0.3">
      <c r="C15" t="s">
        <v>21</v>
      </c>
      <c r="D15">
        <v>36</v>
      </c>
      <c r="E15" s="5">
        <v>19.2</v>
      </c>
      <c r="F15">
        <v>48</v>
      </c>
      <c r="G15" s="7"/>
      <c r="I15" t="s">
        <v>70</v>
      </c>
      <c r="J15">
        <v>20</v>
      </c>
      <c r="K15" t="s">
        <v>74</v>
      </c>
    </row>
    <row r="16" spans="3:14" x14ac:dyDescent="0.3">
      <c r="D16" s="15" t="s">
        <v>107</v>
      </c>
      <c r="E16" s="15"/>
      <c r="F16">
        <f>F15</f>
        <v>48</v>
      </c>
      <c r="I16" t="s">
        <v>71</v>
      </c>
      <c r="J16">
        <v>20</v>
      </c>
      <c r="K16" t="s">
        <v>74</v>
      </c>
    </row>
    <row r="17" spans="3:11" x14ac:dyDescent="0.3">
      <c r="I17" t="s">
        <v>72</v>
      </c>
      <c r="J17">
        <v>20</v>
      </c>
      <c r="K17" t="s">
        <v>74</v>
      </c>
    </row>
    <row r="18" spans="3:11" x14ac:dyDescent="0.3">
      <c r="C18" s="23" t="s">
        <v>32</v>
      </c>
      <c r="D18" s="23"/>
      <c r="I18" t="s">
        <v>73</v>
      </c>
      <c r="J18">
        <v>20</v>
      </c>
      <c r="K18" t="s">
        <v>40</v>
      </c>
    </row>
    <row r="19" spans="3:11" x14ac:dyDescent="0.3">
      <c r="C19" s="24" t="s">
        <v>39</v>
      </c>
      <c r="D19" s="24"/>
      <c r="E19" s="24"/>
      <c r="I19" t="s">
        <v>59</v>
      </c>
      <c r="J19">
        <v>15</v>
      </c>
      <c r="K19" t="s">
        <v>40</v>
      </c>
    </row>
    <row r="20" spans="3:11" x14ac:dyDescent="0.3">
      <c r="C20" t="s">
        <v>45</v>
      </c>
      <c r="D20" s="7">
        <v>150</v>
      </c>
      <c r="E20" t="s">
        <v>37</v>
      </c>
    </row>
    <row r="21" spans="3:11" x14ac:dyDescent="0.3">
      <c r="C21" t="s">
        <v>107</v>
      </c>
      <c r="D21" s="7">
        <f>D20</f>
        <v>150</v>
      </c>
      <c r="I21" s="25" t="s">
        <v>75</v>
      </c>
      <c r="J21" s="25"/>
    </row>
    <row r="22" spans="3:11" x14ac:dyDescent="0.3">
      <c r="C22" s="24" t="s">
        <v>33</v>
      </c>
      <c r="D22" s="24"/>
      <c r="E22" s="24"/>
      <c r="I22" s="3" t="s">
        <v>43</v>
      </c>
      <c r="J22" s="3" t="s">
        <v>15</v>
      </c>
      <c r="K22" s="3" t="s">
        <v>38</v>
      </c>
    </row>
    <row r="23" spans="3:11" x14ac:dyDescent="0.3">
      <c r="C23" t="s">
        <v>44</v>
      </c>
      <c r="D23" s="7">
        <v>10</v>
      </c>
      <c r="E23" t="s">
        <v>40</v>
      </c>
      <c r="I23" t="s">
        <v>76</v>
      </c>
      <c r="J23">
        <v>0.88</v>
      </c>
      <c r="K23" t="s">
        <v>79</v>
      </c>
    </row>
    <row r="24" spans="3:11" x14ac:dyDescent="0.3">
      <c r="C24" t="s">
        <v>107</v>
      </c>
      <c r="D24" s="7">
        <f>D23</f>
        <v>10</v>
      </c>
      <c r="I24" t="s">
        <v>77</v>
      </c>
      <c r="J24">
        <v>0.78</v>
      </c>
      <c r="K24" t="s">
        <v>79</v>
      </c>
    </row>
    <row r="25" spans="3:11" x14ac:dyDescent="0.3">
      <c r="C25" s="23" t="s">
        <v>42</v>
      </c>
      <c r="D25" s="23"/>
      <c r="I25" t="s">
        <v>80</v>
      </c>
      <c r="J25">
        <v>1</v>
      </c>
      <c r="K25" t="s">
        <v>40</v>
      </c>
    </row>
    <row r="26" spans="3:11" x14ac:dyDescent="0.3">
      <c r="C26" s="24" t="s">
        <v>46</v>
      </c>
      <c r="D26" s="24"/>
      <c r="E26" s="24"/>
      <c r="I26" t="s">
        <v>78</v>
      </c>
      <c r="J26">
        <v>8</v>
      </c>
      <c r="K26" t="s">
        <v>40</v>
      </c>
    </row>
    <row r="27" spans="3:11" x14ac:dyDescent="0.3">
      <c r="C27" s="3" t="s">
        <v>108</v>
      </c>
      <c r="D27" s="3" t="s">
        <v>9</v>
      </c>
      <c r="E27" s="3" t="s">
        <v>10</v>
      </c>
      <c r="F27" s="3" t="s">
        <v>28</v>
      </c>
    </row>
    <row r="28" spans="3:11" x14ac:dyDescent="0.3">
      <c r="C28" t="s">
        <v>47</v>
      </c>
      <c r="D28">
        <v>18</v>
      </c>
      <c r="E28">
        <v>32</v>
      </c>
      <c r="F28" s="7">
        <v>80</v>
      </c>
    </row>
    <row r="29" spans="3:11" x14ac:dyDescent="0.3">
      <c r="C29" t="s">
        <v>48</v>
      </c>
      <c r="D29">
        <v>19</v>
      </c>
      <c r="E29">
        <v>12</v>
      </c>
      <c r="F29" s="7">
        <v>79.2</v>
      </c>
    </row>
    <row r="30" spans="3:11" x14ac:dyDescent="0.3">
      <c r="D30" s="15" t="s">
        <v>107</v>
      </c>
      <c r="E30" s="15"/>
      <c r="F30" s="7">
        <f>SUM(F28:F29)</f>
        <v>159.19999999999999</v>
      </c>
    </row>
    <row r="31" spans="3:11" x14ac:dyDescent="0.3">
      <c r="C31" s="24" t="s">
        <v>49</v>
      </c>
      <c r="D31" s="24"/>
      <c r="E31" s="24"/>
    </row>
    <row r="32" spans="3:11" x14ac:dyDescent="0.3">
      <c r="C32" s="9" t="s">
        <v>109</v>
      </c>
      <c r="D32" s="9" t="s">
        <v>9</v>
      </c>
      <c r="E32" s="9" t="s">
        <v>10</v>
      </c>
      <c r="F32" s="9" t="s">
        <v>110</v>
      </c>
    </row>
    <row r="33" spans="3:6" x14ac:dyDescent="0.3">
      <c r="C33" t="s">
        <v>53</v>
      </c>
      <c r="D33">
        <v>42</v>
      </c>
      <c r="E33">
        <v>30</v>
      </c>
      <c r="F33">
        <v>1.26</v>
      </c>
    </row>
    <row r="34" spans="3:6" x14ac:dyDescent="0.3">
      <c r="D34" s="15" t="s">
        <v>107</v>
      </c>
      <c r="E34" s="15"/>
      <c r="F34">
        <f>F33</f>
        <v>1.26</v>
      </c>
    </row>
    <row r="35" spans="3:6" x14ac:dyDescent="0.3">
      <c r="C35" s="24" t="s">
        <v>82</v>
      </c>
      <c r="D35" s="24"/>
      <c r="E35" s="24"/>
    </row>
    <row r="36" spans="3:6" x14ac:dyDescent="0.3">
      <c r="C36" s="3" t="s">
        <v>108</v>
      </c>
      <c r="D36" s="3" t="s">
        <v>9</v>
      </c>
      <c r="E36" s="3" t="s">
        <v>10</v>
      </c>
      <c r="F36" s="3" t="s">
        <v>28</v>
      </c>
    </row>
    <row r="37" spans="3:6" x14ac:dyDescent="0.3">
      <c r="C37" t="s">
        <v>81</v>
      </c>
      <c r="D37">
        <v>12</v>
      </c>
      <c r="E37">
        <v>18</v>
      </c>
      <c r="F37" s="10">
        <v>15</v>
      </c>
    </row>
    <row r="38" spans="3:6" x14ac:dyDescent="0.3">
      <c r="D38" s="15" t="s">
        <v>107</v>
      </c>
      <c r="E38" s="15"/>
      <c r="F38">
        <v>15</v>
      </c>
    </row>
  </sheetData>
  <sheetProtection algorithmName="SHA-512" hashValue="dcCfLEb1oeYksfiH/c5MnP/E5f0EBFHGtQrmv/Jr1xdvjcLL8Z+fg92Mvh0uQwQ+4Rct/9llMYbLnkogcBkenA==" saltValue="aTVe78OBp9AVKF+IahXMkw==" spinCount="100000" sheet="1" objects="1" scenarios="1"/>
  <mergeCells count="19">
    <mergeCell ref="D38:E38"/>
    <mergeCell ref="I3:J3"/>
    <mergeCell ref="I13:J13"/>
    <mergeCell ref="I21:J21"/>
    <mergeCell ref="C31:E31"/>
    <mergeCell ref="C35:E35"/>
    <mergeCell ref="D34:E34"/>
    <mergeCell ref="D30:E30"/>
    <mergeCell ref="C18:D18"/>
    <mergeCell ref="C19:E19"/>
    <mergeCell ref="C22:E22"/>
    <mergeCell ref="C25:D25"/>
    <mergeCell ref="C26:E26"/>
    <mergeCell ref="D16:E16"/>
    <mergeCell ref="C2:N2"/>
    <mergeCell ref="C3:D3"/>
    <mergeCell ref="C4:E4"/>
    <mergeCell ref="E12:F12"/>
    <mergeCell ref="C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4B05-B0A1-4C4C-897E-937127EFD74B}">
  <dimension ref="C3:O105"/>
  <sheetViews>
    <sheetView workbookViewId="0">
      <selection activeCell="C81" sqref="C81:E86"/>
    </sheetView>
  </sheetViews>
  <sheetFormatPr defaultRowHeight="14.4" x14ac:dyDescent="0.3"/>
  <cols>
    <col min="3" max="3" width="16.6640625" bestFit="1" customWidth="1"/>
    <col min="8" max="8" width="13.6640625" bestFit="1" customWidth="1"/>
    <col min="9" max="9" width="11.109375" bestFit="1" customWidth="1"/>
    <col min="11" max="11" width="9.77734375" bestFit="1" customWidth="1"/>
    <col min="13" max="13" width="13.5546875" bestFit="1" customWidth="1"/>
    <col min="14" max="14" width="12.33203125" bestFit="1" customWidth="1"/>
  </cols>
  <sheetData>
    <row r="3" spans="3:15" x14ac:dyDescent="0.3"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3:15" x14ac:dyDescent="0.3">
      <c r="C4" s="25" t="s">
        <v>1</v>
      </c>
      <c r="D4" s="25"/>
      <c r="E4" s="25"/>
      <c r="F4" s="4"/>
      <c r="G4" s="4"/>
      <c r="H4" s="4"/>
      <c r="I4" s="4"/>
      <c r="J4" s="4"/>
      <c r="K4" s="4"/>
      <c r="L4" s="4"/>
      <c r="M4" s="4"/>
    </row>
    <row r="5" spans="3:15" x14ac:dyDescent="0.3">
      <c r="C5" s="23" t="s">
        <v>2</v>
      </c>
      <c r="D5" s="23"/>
      <c r="E5" s="4"/>
      <c r="F5" s="4"/>
      <c r="G5" s="4"/>
      <c r="H5" s="4"/>
      <c r="I5" s="4"/>
      <c r="J5" s="4"/>
      <c r="K5" s="4"/>
      <c r="L5" s="4"/>
      <c r="M5" s="4"/>
    </row>
    <row r="6" spans="3:15" x14ac:dyDescent="0.3">
      <c r="C6" s="24" t="s">
        <v>22</v>
      </c>
      <c r="D6" s="24"/>
      <c r="E6" s="24"/>
      <c r="F6" s="27" t="s">
        <v>23</v>
      </c>
      <c r="G6" s="27"/>
      <c r="H6" s="27"/>
      <c r="I6" s="4"/>
      <c r="J6" s="4"/>
      <c r="K6" s="4"/>
      <c r="L6" s="4"/>
      <c r="M6" s="4"/>
    </row>
    <row r="7" spans="3:15" x14ac:dyDescent="0.3">
      <c r="C7" s="1"/>
      <c r="D7" s="2" t="s">
        <v>8</v>
      </c>
      <c r="E7" s="26" t="s">
        <v>12</v>
      </c>
      <c r="F7" s="26"/>
      <c r="G7" s="2"/>
      <c r="I7" s="15" t="s">
        <v>13</v>
      </c>
      <c r="J7" s="15"/>
      <c r="K7" t="s">
        <v>16</v>
      </c>
    </row>
    <row r="8" spans="3:15" x14ac:dyDescent="0.3">
      <c r="C8" s="1"/>
      <c r="D8" s="2" t="s">
        <v>9</v>
      </c>
      <c r="E8" s="2" t="s">
        <v>10</v>
      </c>
      <c r="F8" s="2" t="s">
        <v>11</v>
      </c>
      <c r="G8" s="2" t="s">
        <v>15</v>
      </c>
      <c r="H8" s="2" t="s">
        <v>14</v>
      </c>
      <c r="I8" s="2" t="s">
        <v>9</v>
      </c>
      <c r="J8" s="2" t="s">
        <v>10</v>
      </c>
      <c r="K8" s="2" t="s">
        <v>11</v>
      </c>
      <c r="L8" s="2" t="s">
        <v>15</v>
      </c>
      <c r="M8" s="2" t="s">
        <v>17</v>
      </c>
      <c r="N8" s="2" t="s">
        <v>18</v>
      </c>
      <c r="O8" s="2" t="s">
        <v>13</v>
      </c>
    </row>
    <row r="9" spans="3:15" x14ac:dyDescent="0.3">
      <c r="C9" t="s">
        <v>3</v>
      </c>
      <c r="D9">
        <v>25</v>
      </c>
      <c r="E9">
        <v>32</v>
      </c>
      <c r="F9">
        <v>1</v>
      </c>
      <c r="G9">
        <v>1</v>
      </c>
      <c r="H9">
        <v>20</v>
      </c>
      <c r="I9">
        <v>27</v>
      </c>
      <c r="J9" s="5">
        <v>38.4</v>
      </c>
      <c r="K9">
        <v>1</v>
      </c>
      <c r="L9">
        <v>1</v>
      </c>
      <c r="M9" s="7">
        <f t="shared" ref="M9:M14" si="0">I9*J9*K9*L9/1728</f>
        <v>0.6</v>
      </c>
      <c r="N9">
        <v>560</v>
      </c>
      <c r="O9" s="5">
        <f t="shared" ref="O9:O14" si="1">N9*M9</f>
        <v>336</v>
      </c>
    </row>
    <row r="10" spans="3:15" x14ac:dyDescent="0.3">
      <c r="C10" t="s">
        <v>4</v>
      </c>
      <c r="D10">
        <v>59</v>
      </c>
      <c r="E10">
        <v>15</v>
      </c>
      <c r="F10">
        <v>1</v>
      </c>
      <c r="G10">
        <v>2</v>
      </c>
      <c r="H10">
        <v>20</v>
      </c>
      <c r="I10">
        <v>63</v>
      </c>
      <c r="J10" s="5">
        <v>18</v>
      </c>
      <c r="K10">
        <v>1</v>
      </c>
      <c r="L10">
        <v>2</v>
      </c>
      <c r="M10" s="7">
        <f t="shared" si="0"/>
        <v>1.3125</v>
      </c>
      <c r="N10">
        <v>760</v>
      </c>
      <c r="O10" s="5">
        <f t="shared" si="1"/>
        <v>997.5</v>
      </c>
    </row>
    <row r="11" spans="3:15" x14ac:dyDescent="0.3">
      <c r="C11" t="s">
        <v>5</v>
      </c>
      <c r="D11">
        <v>56</v>
      </c>
      <c r="E11">
        <v>16</v>
      </c>
      <c r="F11">
        <v>1</v>
      </c>
      <c r="G11">
        <v>1</v>
      </c>
      <c r="H11">
        <v>20</v>
      </c>
      <c r="I11">
        <v>60</v>
      </c>
      <c r="J11" s="5">
        <v>19.2</v>
      </c>
      <c r="K11">
        <v>1</v>
      </c>
      <c r="L11">
        <v>1</v>
      </c>
      <c r="M11" s="7">
        <f t="shared" si="0"/>
        <v>0.66666666666666663</v>
      </c>
      <c r="N11">
        <v>760</v>
      </c>
      <c r="O11" s="5">
        <f t="shared" si="1"/>
        <v>506.66666666666663</v>
      </c>
    </row>
    <row r="12" spans="3:15" x14ac:dyDescent="0.3">
      <c r="C12" t="s">
        <v>6</v>
      </c>
      <c r="D12">
        <v>14</v>
      </c>
      <c r="E12">
        <v>17</v>
      </c>
      <c r="F12">
        <v>1</v>
      </c>
      <c r="G12">
        <v>4</v>
      </c>
      <c r="H12">
        <v>20</v>
      </c>
      <c r="I12">
        <v>18</v>
      </c>
      <c r="J12" s="5">
        <v>20.399999999999999</v>
      </c>
      <c r="K12">
        <v>1</v>
      </c>
      <c r="L12">
        <v>4</v>
      </c>
      <c r="M12" s="7">
        <f t="shared" si="0"/>
        <v>0.85</v>
      </c>
      <c r="N12">
        <v>560</v>
      </c>
      <c r="O12" s="5">
        <f t="shared" si="1"/>
        <v>476</v>
      </c>
    </row>
    <row r="13" spans="3:15" x14ac:dyDescent="0.3">
      <c r="C13" t="s">
        <v>7</v>
      </c>
      <c r="D13">
        <v>24</v>
      </c>
      <c r="E13">
        <v>16</v>
      </c>
      <c r="F13">
        <v>1</v>
      </c>
      <c r="G13">
        <v>1</v>
      </c>
      <c r="H13">
        <v>20</v>
      </c>
      <c r="I13">
        <v>27</v>
      </c>
      <c r="J13" s="5">
        <v>19.2</v>
      </c>
      <c r="K13">
        <v>1</v>
      </c>
      <c r="L13">
        <v>1</v>
      </c>
      <c r="M13" s="7">
        <f t="shared" si="0"/>
        <v>0.3</v>
      </c>
      <c r="N13">
        <v>560</v>
      </c>
      <c r="O13" s="5">
        <f t="shared" si="1"/>
        <v>168</v>
      </c>
    </row>
    <row r="14" spans="3:15" x14ac:dyDescent="0.3">
      <c r="C14" t="s">
        <v>20</v>
      </c>
      <c r="D14">
        <v>56</v>
      </c>
      <c r="E14">
        <v>13</v>
      </c>
      <c r="F14">
        <v>1.5</v>
      </c>
      <c r="G14">
        <v>1</v>
      </c>
      <c r="H14">
        <v>20</v>
      </c>
      <c r="I14">
        <v>60</v>
      </c>
      <c r="J14" s="5">
        <v>15.6</v>
      </c>
      <c r="K14">
        <v>1.5</v>
      </c>
      <c r="L14">
        <v>1</v>
      </c>
      <c r="M14" s="7">
        <f t="shared" si="0"/>
        <v>0.8125</v>
      </c>
      <c r="N14">
        <v>760</v>
      </c>
      <c r="O14" s="5">
        <f t="shared" si="1"/>
        <v>617.5</v>
      </c>
    </row>
    <row r="15" spans="3:15" x14ac:dyDescent="0.3">
      <c r="J15" s="5"/>
    </row>
    <row r="16" spans="3:15" x14ac:dyDescent="0.3">
      <c r="J16" s="5"/>
      <c r="M16" s="15" t="s">
        <v>19</v>
      </c>
      <c r="N16" s="15"/>
      <c r="O16" s="5">
        <f>SUM(O9:O14)</f>
        <v>3101.6666666666665</v>
      </c>
    </row>
    <row r="17" spans="3:14" x14ac:dyDescent="0.3">
      <c r="C17" s="24" t="s">
        <v>24</v>
      </c>
      <c r="D17" s="24"/>
      <c r="E17" s="24"/>
      <c r="F17" s="27" t="s">
        <v>25</v>
      </c>
      <c r="G17" s="27"/>
      <c r="H17" s="27"/>
      <c r="J17" s="5"/>
    </row>
    <row r="18" spans="3:14" x14ac:dyDescent="0.3">
      <c r="C18" s="3"/>
      <c r="D18" t="s">
        <v>8</v>
      </c>
      <c r="E18" s="15" t="s">
        <v>12</v>
      </c>
      <c r="F18" s="15"/>
      <c r="I18" s="15" t="s">
        <v>13</v>
      </c>
      <c r="J18" s="15"/>
      <c r="K18" s="15" t="s">
        <v>29</v>
      </c>
      <c r="L18" s="15"/>
    </row>
    <row r="19" spans="3:14" x14ac:dyDescent="0.3">
      <c r="D19" t="s">
        <v>9</v>
      </c>
      <c r="E19" t="s">
        <v>10</v>
      </c>
      <c r="F19" t="s">
        <v>26</v>
      </c>
      <c r="H19" t="s">
        <v>27</v>
      </c>
      <c r="I19" t="s">
        <v>9</v>
      </c>
      <c r="J19" s="5" t="s">
        <v>10</v>
      </c>
      <c r="K19" t="s">
        <v>26</v>
      </c>
      <c r="L19" t="s">
        <v>28</v>
      </c>
      <c r="M19" t="s">
        <v>30</v>
      </c>
      <c r="N19" t="s">
        <v>13</v>
      </c>
    </row>
    <row r="20" spans="3:14" x14ac:dyDescent="0.3">
      <c r="C20" t="s">
        <v>21</v>
      </c>
      <c r="D20">
        <v>34</v>
      </c>
      <c r="E20">
        <v>16</v>
      </c>
      <c r="F20">
        <v>1</v>
      </c>
      <c r="H20">
        <v>20</v>
      </c>
      <c r="I20">
        <v>36</v>
      </c>
      <c r="J20" s="5">
        <f t="shared" ref="J20" si="2">E20+20*E20/100</f>
        <v>19.2</v>
      </c>
      <c r="K20">
        <v>1</v>
      </c>
      <c r="L20" s="7">
        <f>I20*J20*K20/144</f>
        <v>4.8</v>
      </c>
      <c r="M20">
        <v>490</v>
      </c>
      <c r="N20">
        <f>L20*M20</f>
        <v>2352</v>
      </c>
    </row>
    <row r="22" spans="3:14" x14ac:dyDescent="0.3">
      <c r="L22" s="15" t="s">
        <v>19</v>
      </c>
      <c r="M22" s="15"/>
      <c r="N22">
        <f>N20</f>
        <v>2352</v>
      </c>
    </row>
    <row r="24" spans="3:14" x14ac:dyDescent="0.3">
      <c r="C24" s="25" t="s">
        <v>31</v>
      </c>
      <c r="D24" s="25"/>
      <c r="E24" s="25"/>
    </row>
    <row r="25" spans="3:14" x14ac:dyDescent="0.3">
      <c r="C25" s="23" t="s">
        <v>32</v>
      </c>
      <c r="D25" s="23"/>
    </row>
    <row r="26" spans="3:14" x14ac:dyDescent="0.3">
      <c r="C26" s="24" t="s">
        <v>39</v>
      </c>
      <c r="D26" s="24"/>
      <c r="E26" s="24"/>
      <c r="F26" s="27" t="s">
        <v>56</v>
      </c>
      <c r="G26" s="27"/>
    </row>
    <row r="27" spans="3:14" x14ac:dyDescent="0.3">
      <c r="C27" t="s">
        <v>43</v>
      </c>
      <c r="D27" t="s">
        <v>34</v>
      </c>
      <c r="F27" t="s">
        <v>27</v>
      </c>
      <c r="G27" t="s">
        <v>35</v>
      </c>
      <c r="H27" t="s">
        <v>38</v>
      </c>
      <c r="I27" t="s">
        <v>36</v>
      </c>
      <c r="J27" t="s">
        <v>13</v>
      </c>
    </row>
    <row r="28" spans="3:14" x14ac:dyDescent="0.3">
      <c r="C28" t="s">
        <v>45</v>
      </c>
      <c r="D28">
        <v>14.38</v>
      </c>
      <c r="E28" t="s">
        <v>37</v>
      </c>
      <c r="F28" s="6">
        <v>4.3099999999999999E-2</v>
      </c>
      <c r="G28" s="7">
        <f>D28*(1+F28)</f>
        <v>14.999777999999999</v>
      </c>
      <c r="H28" t="s">
        <v>37</v>
      </c>
      <c r="I28">
        <v>182</v>
      </c>
      <c r="J28" s="5">
        <f>I28*G28</f>
        <v>2729.9595959999997</v>
      </c>
    </row>
    <row r="30" spans="3:14" x14ac:dyDescent="0.3">
      <c r="H30" s="15" t="s">
        <v>19</v>
      </c>
      <c r="I30" s="15"/>
      <c r="J30" s="5">
        <f>J28</f>
        <v>2729.9595959999997</v>
      </c>
    </row>
    <row r="32" spans="3:14" x14ac:dyDescent="0.3">
      <c r="C32" s="24" t="s">
        <v>33</v>
      </c>
      <c r="D32" s="24"/>
      <c r="E32" s="24"/>
      <c r="F32" s="27" t="s">
        <v>57</v>
      </c>
      <c r="G32" s="27"/>
    </row>
    <row r="33" spans="3:9" x14ac:dyDescent="0.3">
      <c r="C33" s="15" t="s">
        <v>43</v>
      </c>
      <c r="D33" s="15"/>
      <c r="E33" s="15"/>
      <c r="F33" t="s">
        <v>15</v>
      </c>
      <c r="G33" t="s">
        <v>38</v>
      </c>
      <c r="H33" t="s">
        <v>41</v>
      </c>
      <c r="I33" t="s">
        <v>13</v>
      </c>
    </row>
    <row r="34" spans="3:9" x14ac:dyDescent="0.3">
      <c r="C34" s="15" t="s">
        <v>44</v>
      </c>
      <c r="D34" s="15"/>
      <c r="E34" s="15"/>
      <c r="F34">
        <v>1</v>
      </c>
      <c r="G34" t="s">
        <v>40</v>
      </c>
      <c r="H34">
        <v>1200</v>
      </c>
      <c r="I34">
        <v>1200</v>
      </c>
    </row>
    <row r="36" spans="3:9" x14ac:dyDescent="0.3">
      <c r="G36" s="28" t="s">
        <v>19</v>
      </c>
      <c r="H36" s="28"/>
      <c r="I36">
        <f>I34</f>
        <v>1200</v>
      </c>
    </row>
    <row r="38" spans="3:9" x14ac:dyDescent="0.3">
      <c r="C38" s="23" t="s">
        <v>42</v>
      </c>
      <c r="D38" s="23"/>
    </row>
    <row r="39" spans="3:9" x14ac:dyDescent="0.3">
      <c r="C39" s="24" t="s">
        <v>46</v>
      </c>
      <c r="D39" s="24"/>
      <c r="E39" s="27" t="s">
        <v>25</v>
      </c>
      <c r="F39" s="27"/>
    </row>
    <row r="40" spans="3:9" x14ac:dyDescent="0.3">
      <c r="C40" t="s">
        <v>51</v>
      </c>
      <c r="D40" t="s">
        <v>9</v>
      </c>
      <c r="E40" t="s">
        <v>10</v>
      </c>
      <c r="F40" t="s">
        <v>26</v>
      </c>
      <c r="G40" t="s">
        <v>28</v>
      </c>
      <c r="H40" t="s">
        <v>30</v>
      </c>
      <c r="I40" t="s">
        <v>13</v>
      </c>
    </row>
    <row r="41" spans="3:9" x14ac:dyDescent="0.3">
      <c r="C41" t="s">
        <v>47</v>
      </c>
      <c r="D41">
        <v>18</v>
      </c>
      <c r="E41">
        <v>32</v>
      </c>
      <c r="F41">
        <v>2</v>
      </c>
      <c r="G41" s="7">
        <f>D41*E41*F41/144</f>
        <v>8</v>
      </c>
      <c r="H41">
        <v>30</v>
      </c>
      <c r="I41">
        <f>H41*G41</f>
        <v>240</v>
      </c>
    </row>
    <row r="42" spans="3:9" x14ac:dyDescent="0.3">
      <c r="C42" t="s">
        <v>48</v>
      </c>
      <c r="D42">
        <v>19</v>
      </c>
      <c r="E42">
        <v>12</v>
      </c>
      <c r="F42">
        <v>5</v>
      </c>
      <c r="G42" s="7">
        <f>D42*E42*F42/144</f>
        <v>7.916666666666667</v>
      </c>
      <c r="H42">
        <v>30</v>
      </c>
      <c r="I42" s="5">
        <f>H42*G42</f>
        <v>237.5</v>
      </c>
    </row>
    <row r="44" spans="3:9" x14ac:dyDescent="0.3">
      <c r="G44" s="28" t="s">
        <v>19</v>
      </c>
      <c r="H44" s="28"/>
      <c r="I44" s="5">
        <f>SUM(I41:I42)</f>
        <v>477.5</v>
      </c>
    </row>
    <row r="45" spans="3:9" x14ac:dyDescent="0.3">
      <c r="C45" s="24" t="s">
        <v>49</v>
      </c>
      <c r="D45" s="24"/>
      <c r="E45" s="27" t="s">
        <v>50</v>
      </c>
      <c r="F45" s="27"/>
    </row>
    <row r="46" spans="3:9" x14ac:dyDescent="0.3">
      <c r="C46" t="s">
        <v>52</v>
      </c>
      <c r="D46" t="s">
        <v>9</v>
      </c>
      <c r="E46" t="s">
        <v>10</v>
      </c>
      <c r="F46" t="s">
        <v>26</v>
      </c>
      <c r="G46" t="s">
        <v>54</v>
      </c>
      <c r="H46" t="s">
        <v>55</v>
      </c>
      <c r="I46" t="s">
        <v>13</v>
      </c>
    </row>
    <row r="47" spans="3:9" x14ac:dyDescent="0.3">
      <c r="C47" t="s">
        <v>53</v>
      </c>
      <c r="D47">
        <v>42</v>
      </c>
      <c r="E47">
        <v>30</v>
      </c>
      <c r="F47">
        <v>1</v>
      </c>
      <c r="G47">
        <f>D47*E47*F47/10000</f>
        <v>0.126</v>
      </c>
      <c r="H47">
        <v>960</v>
      </c>
      <c r="I47" s="5">
        <f>G47*H47</f>
        <v>120.96000000000001</v>
      </c>
    </row>
    <row r="49" spans="3:9" x14ac:dyDescent="0.3">
      <c r="G49" s="28" t="s">
        <v>19</v>
      </c>
      <c r="H49" s="28"/>
      <c r="I49" s="5">
        <f>I47</f>
        <v>120.96000000000001</v>
      </c>
    </row>
    <row r="50" spans="3:9" x14ac:dyDescent="0.3">
      <c r="G50" s="8"/>
      <c r="H50" s="8"/>
      <c r="I50" s="5"/>
    </row>
    <row r="51" spans="3:9" x14ac:dyDescent="0.3">
      <c r="C51" s="24" t="s">
        <v>82</v>
      </c>
      <c r="D51" s="24"/>
      <c r="E51" s="27" t="s">
        <v>25</v>
      </c>
      <c r="F51" s="27"/>
      <c r="G51" s="8"/>
      <c r="H51" s="8"/>
      <c r="I51" s="5"/>
    </row>
    <row r="52" spans="3:9" x14ac:dyDescent="0.3">
      <c r="C52" t="s">
        <v>51</v>
      </c>
      <c r="D52" t="s">
        <v>9</v>
      </c>
      <c r="E52" t="s">
        <v>10</v>
      </c>
      <c r="F52" t="s">
        <v>26</v>
      </c>
      <c r="G52" s="8" t="str">
        <f>G40</f>
        <v>SQFT</v>
      </c>
      <c r="H52" s="8" t="str">
        <f>H40</f>
        <v>COST PER SQFT</v>
      </c>
      <c r="I52" s="5" t="s">
        <v>13</v>
      </c>
    </row>
    <row r="53" spans="3:9" x14ac:dyDescent="0.3">
      <c r="C53" t="s">
        <v>81</v>
      </c>
      <c r="D53">
        <v>12</v>
      </c>
      <c r="E53">
        <v>18</v>
      </c>
      <c r="F53">
        <v>1</v>
      </c>
      <c r="G53" s="8">
        <f>D53*E53*F53/144</f>
        <v>1.5</v>
      </c>
      <c r="H53" s="8">
        <v>130</v>
      </c>
      <c r="I53" s="5">
        <f>H53*G53</f>
        <v>195</v>
      </c>
    </row>
    <row r="54" spans="3:9" x14ac:dyDescent="0.3">
      <c r="G54" s="8"/>
      <c r="H54" s="8"/>
      <c r="I54" s="5"/>
    </row>
    <row r="55" spans="3:9" x14ac:dyDescent="0.3">
      <c r="G55" s="28" t="s">
        <v>19</v>
      </c>
      <c r="H55" s="28"/>
      <c r="I55" s="5">
        <f>I53</f>
        <v>195</v>
      </c>
    </row>
    <row r="56" spans="3:9" x14ac:dyDescent="0.3">
      <c r="G56" s="8"/>
      <c r="H56" s="8"/>
      <c r="I56" s="5"/>
    </row>
    <row r="57" spans="3:9" x14ac:dyDescent="0.3">
      <c r="G57" s="8"/>
      <c r="H57" s="8"/>
      <c r="I57" s="5"/>
    </row>
    <row r="59" spans="3:9" x14ac:dyDescent="0.3">
      <c r="C59" s="25" t="s">
        <v>58</v>
      </c>
      <c r="D59" s="25"/>
    </row>
    <row r="60" spans="3:9" x14ac:dyDescent="0.3">
      <c r="C60" s="1" t="s">
        <v>43</v>
      </c>
      <c r="D60" s="1" t="s">
        <v>15</v>
      </c>
      <c r="E60" t="s">
        <v>38</v>
      </c>
      <c r="F60" t="s">
        <v>67</v>
      </c>
      <c r="G60" t="s">
        <v>13</v>
      </c>
    </row>
    <row r="61" spans="3:9" x14ac:dyDescent="0.3">
      <c r="C61" t="s">
        <v>60</v>
      </c>
      <c r="D61">
        <v>2</v>
      </c>
      <c r="E61" t="s">
        <v>40</v>
      </c>
      <c r="F61">
        <v>63</v>
      </c>
      <c r="G61">
        <f>F61*D61</f>
        <v>126</v>
      </c>
    </row>
    <row r="62" spans="3:9" x14ac:dyDescent="0.3">
      <c r="C62" t="s">
        <v>61</v>
      </c>
      <c r="D62">
        <v>30</v>
      </c>
      <c r="E62" t="s">
        <v>40</v>
      </c>
      <c r="F62">
        <v>0.82</v>
      </c>
      <c r="G62">
        <f t="shared" ref="G62:G67" si="3">F62*D62</f>
        <v>24.599999999999998</v>
      </c>
    </row>
    <row r="63" spans="3:9" x14ac:dyDescent="0.3">
      <c r="C63" t="s">
        <v>62</v>
      </c>
      <c r="D63">
        <v>2</v>
      </c>
      <c r="E63" t="s">
        <v>68</v>
      </c>
      <c r="F63">
        <v>50</v>
      </c>
      <c r="G63">
        <f t="shared" si="3"/>
        <v>100</v>
      </c>
    </row>
    <row r="64" spans="3:9" x14ac:dyDescent="0.3">
      <c r="C64" t="s">
        <v>63</v>
      </c>
      <c r="D64">
        <v>1</v>
      </c>
      <c r="E64" t="s">
        <v>40</v>
      </c>
      <c r="F64">
        <v>112</v>
      </c>
      <c r="G64">
        <f t="shared" si="3"/>
        <v>112</v>
      </c>
    </row>
    <row r="65" spans="3:7" x14ac:dyDescent="0.3">
      <c r="C65" t="s">
        <v>64</v>
      </c>
      <c r="D65">
        <v>3</v>
      </c>
      <c r="E65" t="s">
        <v>40</v>
      </c>
      <c r="F65">
        <v>58</v>
      </c>
      <c r="G65">
        <f t="shared" si="3"/>
        <v>174</v>
      </c>
    </row>
    <row r="66" spans="3:7" x14ac:dyDescent="0.3">
      <c r="C66" t="s">
        <v>65</v>
      </c>
      <c r="D66">
        <v>3</v>
      </c>
      <c r="E66" t="s">
        <v>40</v>
      </c>
      <c r="F66">
        <v>39</v>
      </c>
      <c r="G66">
        <f t="shared" si="3"/>
        <v>117</v>
      </c>
    </row>
    <row r="67" spans="3:7" x14ac:dyDescent="0.3">
      <c r="C67" t="s">
        <v>66</v>
      </c>
      <c r="D67">
        <v>1</v>
      </c>
      <c r="E67" t="s">
        <v>40</v>
      </c>
      <c r="F67">
        <v>12</v>
      </c>
      <c r="G67">
        <f t="shared" si="3"/>
        <v>12</v>
      </c>
    </row>
    <row r="69" spans="3:7" x14ac:dyDescent="0.3">
      <c r="E69" s="28" t="s">
        <v>19</v>
      </c>
      <c r="F69" s="28"/>
      <c r="G69" s="5">
        <f>SUM(G61:G67)</f>
        <v>665.6</v>
      </c>
    </row>
    <row r="71" spans="3:7" x14ac:dyDescent="0.3">
      <c r="C71" s="25" t="s">
        <v>69</v>
      </c>
      <c r="D71" s="25"/>
    </row>
    <row r="72" spans="3:7" x14ac:dyDescent="0.3">
      <c r="C72" t="s">
        <v>43</v>
      </c>
      <c r="D72" t="s">
        <v>15</v>
      </c>
      <c r="E72" t="s">
        <v>38</v>
      </c>
      <c r="F72" t="s">
        <v>67</v>
      </c>
      <c r="G72" t="s">
        <v>13</v>
      </c>
    </row>
    <row r="73" spans="3:7" x14ac:dyDescent="0.3">
      <c r="C73" t="s">
        <v>70</v>
      </c>
      <c r="D73">
        <v>2</v>
      </c>
      <c r="E73" t="s">
        <v>74</v>
      </c>
      <c r="F73">
        <v>25</v>
      </c>
      <c r="G73">
        <f>D73*F73</f>
        <v>50</v>
      </c>
    </row>
    <row r="74" spans="3:7" x14ac:dyDescent="0.3">
      <c r="C74" t="s">
        <v>71</v>
      </c>
      <c r="D74">
        <v>2</v>
      </c>
      <c r="E74" t="s">
        <v>74</v>
      </c>
      <c r="F74">
        <v>28</v>
      </c>
      <c r="G74">
        <f t="shared" ref="G74:G77" si="4">D74*F74</f>
        <v>56</v>
      </c>
    </row>
    <row r="75" spans="3:7" x14ac:dyDescent="0.3">
      <c r="C75" t="s">
        <v>72</v>
      </c>
      <c r="D75">
        <v>2</v>
      </c>
      <c r="E75" t="s">
        <v>74</v>
      </c>
      <c r="F75">
        <v>30</v>
      </c>
      <c r="G75">
        <f t="shared" si="4"/>
        <v>60</v>
      </c>
    </row>
    <row r="76" spans="3:7" x14ac:dyDescent="0.3">
      <c r="C76" t="s">
        <v>73</v>
      </c>
      <c r="D76">
        <v>2</v>
      </c>
      <c r="E76" t="s">
        <v>40</v>
      </c>
      <c r="F76">
        <v>7</v>
      </c>
      <c r="G76">
        <f t="shared" si="4"/>
        <v>14</v>
      </c>
    </row>
    <row r="77" spans="3:7" x14ac:dyDescent="0.3">
      <c r="C77" t="s">
        <v>59</v>
      </c>
      <c r="D77">
        <v>1.5</v>
      </c>
      <c r="E77" t="s">
        <v>40</v>
      </c>
      <c r="F77">
        <v>80</v>
      </c>
      <c r="G77">
        <f t="shared" si="4"/>
        <v>120</v>
      </c>
    </row>
    <row r="79" spans="3:7" x14ac:dyDescent="0.3">
      <c r="E79" s="28" t="s">
        <v>19</v>
      </c>
      <c r="F79" s="28"/>
      <c r="G79">
        <f>SUM(G73:G77)</f>
        <v>300</v>
      </c>
    </row>
    <row r="81" spans="3:7" x14ac:dyDescent="0.3">
      <c r="C81" s="25" t="s">
        <v>75</v>
      </c>
      <c r="D81" s="25"/>
    </row>
    <row r="82" spans="3:7" x14ac:dyDescent="0.3">
      <c r="C82" t="s">
        <v>43</v>
      </c>
      <c r="D82" t="s">
        <v>15</v>
      </c>
      <c r="E82" t="s">
        <v>38</v>
      </c>
      <c r="F82" t="s">
        <v>67</v>
      </c>
      <c r="G82" t="s">
        <v>13</v>
      </c>
    </row>
    <row r="83" spans="3:7" x14ac:dyDescent="0.3">
      <c r="C83" t="s">
        <v>76</v>
      </c>
      <c r="D83">
        <v>0.88</v>
      </c>
      <c r="E83" t="s">
        <v>79</v>
      </c>
      <c r="F83">
        <v>230</v>
      </c>
      <c r="G83" s="5">
        <f>F83*D83</f>
        <v>202.4</v>
      </c>
    </row>
    <row r="84" spans="3:7" x14ac:dyDescent="0.3">
      <c r="C84" t="s">
        <v>77</v>
      </c>
      <c r="D84">
        <v>0.78</v>
      </c>
      <c r="E84" t="s">
        <v>79</v>
      </c>
      <c r="F84">
        <v>210</v>
      </c>
      <c r="G84" s="5">
        <f t="shared" ref="G84:G86" si="5">F84*D84</f>
        <v>163.80000000000001</v>
      </c>
    </row>
    <row r="85" spans="3:7" x14ac:dyDescent="0.3">
      <c r="C85" t="s">
        <v>80</v>
      </c>
      <c r="D85">
        <v>1</v>
      </c>
      <c r="E85" t="s">
        <v>40</v>
      </c>
      <c r="F85">
        <v>580</v>
      </c>
      <c r="G85" s="5">
        <f t="shared" si="5"/>
        <v>580</v>
      </c>
    </row>
    <row r="86" spans="3:7" x14ac:dyDescent="0.3">
      <c r="C86" t="s">
        <v>78</v>
      </c>
      <c r="D86">
        <v>8</v>
      </c>
      <c r="E86" t="s">
        <v>40</v>
      </c>
      <c r="F86">
        <v>2.8</v>
      </c>
      <c r="G86" s="5">
        <f t="shared" si="5"/>
        <v>22.4</v>
      </c>
    </row>
    <row r="87" spans="3:7" x14ac:dyDescent="0.3">
      <c r="G87" s="5"/>
    </row>
    <row r="88" spans="3:7" x14ac:dyDescent="0.3">
      <c r="E88" s="28" t="s">
        <v>19</v>
      </c>
      <c r="F88" s="28"/>
      <c r="G88" s="5">
        <f>SUM(G83:G86)</f>
        <v>968.6</v>
      </c>
    </row>
    <row r="90" spans="3:7" x14ac:dyDescent="0.3">
      <c r="C90" s="25" t="s">
        <v>83</v>
      </c>
      <c r="D90" s="25"/>
    </row>
    <row r="91" spans="3:7" x14ac:dyDescent="0.3">
      <c r="C91" s="15" t="s">
        <v>84</v>
      </c>
      <c r="D91" s="15"/>
      <c r="E91">
        <v>100</v>
      </c>
    </row>
    <row r="92" spans="3:7" x14ac:dyDescent="0.3">
      <c r="C92" s="15" t="s">
        <v>85</v>
      </c>
      <c r="D92" s="15"/>
      <c r="E92">
        <v>260</v>
      </c>
    </row>
    <row r="93" spans="3:7" x14ac:dyDescent="0.3">
      <c r="C93" s="15" t="s">
        <v>86</v>
      </c>
      <c r="D93" s="15"/>
      <c r="E93">
        <v>500</v>
      </c>
    </row>
    <row r="94" spans="3:7" x14ac:dyDescent="0.3">
      <c r="C94" s="15" t="s">
        <v>87</v>
      </c>
      <c r="D94" s="15"/>
      <c r="E94">
        <v>428</v>
      </c>
    </row>
    <row r="95" spans="3:7" x14ac:dyDescent="0.3">
      <c r="C95" s="15" t="s">
        <v>88</v>
      </c>
      <c r="D95" s="15"/>
      <c r="E95">
        <v>180</v>
      </c>
    </row>
    <row r="96" spans="3:7" x14ac:dyDescent="0.3">
      <c r="C96" s="15" t="s">
        <v>89</v>
      </c>
      <c r="D96" s="15"/>
      <c r="E96">
        <v>110</v>
      </c>
    </row>
    <row r="98" spans="3:5" x14ac:dyDescent="0.3">
      <c r="C98" s="28" t="s">
        <v>19</v>
      </c>
      <c r="D98" s="28"/>
      <c r="E98">
        <f>SUM(E91:E96)</f>
        <v>1578</v>
      </c>
    </row>
    <row r="100" spans="3:5" x14ac:dyDescent="0.3">
      <c r="C100" s="25" t="s">
        <v>90</v>
      </c>
      <c r="D100" s="25"/>
    </row>
    <row r="101" spans="3:5" x14ac:dyDescent="0.3">
      <c r="C101" s="15" t="s">
        <v>91</v>
      </c>
      <c r="D101" s="15"/>
      <c r="E101">
        <v>98</v>
      </c>
    </row>
    <row r="102" spans="3:5" x14ac:dyDescent="0.3">
      <c r="C102" s="15" t="s">
        <v>92</v>
      </c>
      <c r="D102" s="15"/>
      <c r="E102">
        <v>580</v>
      </c>
    </row>
    <row r="103" spans="3:5" x14ac:dyDescent="0.3">
      <c r="C103" s="15" t="s">
        <v>93</v>
      </c>
      <c r="D103" s="15"/>
      <c r="E103">
        <v>136</v>
      </c>
    </row>
    <row r="105" spans="3:5" x14ac:dyDescent="0.3">
      <c r="C105" s="28" t="s">
        <v>19</v>
      </c>
      <c r="D105" s="28"/>
      <c r="E105">
        <f>SUM(E101:E103)</f>
        <v>814</v>
      </c>
    </row>
  </sheetData>
  <sheetProtection algorithmName="SHA-512" hashValue="oMZWyUsN3+wunrx7DmBEdOnCetkIw/1eMNhejPaf17qOBN30tnTHzWV12JAjsE17rdbTvZZqzyN/vrZ3WgbSUg==" saltValue="O/G9Lw+qAJ/t4sOR+F/2sA==" spinCount="100000" sheet="1" objects="1" scenarios="1"/>
  <mergeCells count="53">
    <mergeCell ref="C102:D102"/>
    <mergeCell ref="C103:D103"/>
    <mergeCell ref="C105:D105"/>
    <mergeCell ref="C95:D95"/>
    <mergeCell ref="C96:D96"/>
    <mergeCell ref="C98:D98"/>
    <mergeCell ref="C100:D100"/>
    <mergeCell ref="C101:D101"/>
    <mergeCell ref="C90:D90"/>
    <mergeCell ref="C91:D91"/>
    <mergeCell ref="C92:D92"/>
    <mergeCell ref="C93:D93"/>
    <mergeCell ref="C94:D94"/>
    <mergeCell ref="E79:F79"/>
    <mergeCell ref="C81:D81"/>
    <mergeCell ref="E88:F88"/>
    <mergeCell ref="C51:D51"/>
    <mergeCell ref="E51:F51"/>
    <mergeCell ref="C38:D38"/>
    <mergeCell ref="C59:D59"/>
    <mergeCell ref="G49:H49"/>
    <mergeCell ref="E69:F69"/>
    <mergeCell ref="C71:D71"/>
    <mergeCell ref="G55:H55"/>
    <mergeCell ref="C39:D39"/>
    <mergeCell ref="E39:F39"/>
    <mergeCell ref="G44:H44"/>
    <mergeCell ref="C45:D45"/>
    <mergeCell ref="E45:F45"/>
    <mergeCell ref="C32:E32"/>
    <mergeCell ref="F32:G32"/>
    <mergeCell ref="G36:H36"/>
    <mergeCell ref="C33:E33"/>
    <mergeCell ref="C34:E34"/>
    <mergeCell ref="C3:O3"/>
    <mergeCell ref="C6:E6"/>
    <mergeCell ref="F6:H6"/>
    <mergeCell ref="M16:N16"/>
    <mergeCell ref="H30:I30"/>
    <mergeCell ref="C25:D25"/>
    <mergeCell ref="C17:E17"/>
    <mergeCell ref="F17:H17"/>
    <mergeCell ref="I18:J18"/>
    <mergeCell ref="K18:L18"/>
    <mergeCell ref="L22:M22"/>
    <mergeCell ref="C24:E24"/>
    <mergeCell ref="C26:E26"/>
    <mergeCell ref="F26:G26"/>
    <mergeCell ref="E18:F18"/>
    <mergeCell ref="C4:E4"/>
    <mergeCell ref="C5:D5"/>
    <mergeCell ref="E7:F7"/>
    <mergeCell ref="I7:J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1DDE-9901-42E7-888D-DB8071946956}">
  <dimension ref="B2:M13"/>
  <sheetViews>
    <sheetView tabSelected="1" workbookViewId="0">
      <selection activeCell="J5" sqref="J5:K7"/>
    </sheetView>
  </sheetViews>
  <sheetFormatPr defaultRowHeight="14.4" x14ac:dyDescent="0.3"/>
  <cols>
    <col min="3" max="3" width="12" customWidth="1"/>
    <col min="6" max="6" width="12" hidden="1" customWidth="1"/>
    <col min="7" max="7" width="0" hidden="1" customWidth="1"/>
  </cols>
  <sheetData>
    <row r="2" spans="2:13" x14ac:dyDescent="0.3">
      <c r="B2" s="14" t="s">
        <v>96</v>
      </c>
      <c r="C2" s="14"/>
      <c r="D2" s="21" t="s">
        <v>95</v>
      </c>
      <c r="E2" s="21"/>
    </row>
    <row r="3" spans="2:13" x14ac:dyDescent="0.3">
      <c r="B3" s="12" t="s">
        <v>94</v>
      </c>
      <c r="C3" s="12"/>
      <c r="D3" s="11">
        <f>SUM('example - COST DETAIL'!O16,'example - COST DETAIL'!N22)</f>
        <v>5453.6666666666661</v>
      </c>
      <c r="E3" s="13"/>
    </row>
    <row r="4" spans="2:13" x14ac:dyDescent="0.3">
      <c r="B4" s="12" t="s">
        <v>97</v>
      </c>
      <c r="C4" s="12"/>
      <c r="D4" s="11">
        <f>SUM('example - COST DETAIL'!J30,'example - COST DETAIL'!I36,'example - COST DETAIL'!I44,'example - COST DETAIL'!I49,'example - COST DETAIL'!I55)</f>
        <v>4723.4195959999997</v>
      </c>
      <c r="E4" s="13"/>
      <c r="J4" s="18" t="s">
        <v>104</v>
      </c>
      <c r="K4" s="18"/>
      <c r="L4" s="18" t="s">
        <v>105</v>
      </c>
      <c r="M4" s="18"/>
    </row>
    <row r="5" spans="2:13" x14ac:dyDescent="0.3">
      <c r="B5" s="12" t="s">
        <v>58</v>
      </c>
      <c r="C5" s="12"/>
      <c r="D5" s="11">
        <f>'example - COST DETAIL'!G69</f>
        <v>665.6</v>
      </c>
      <c r="E5" s="13"/>
      <c r="J5" s="19">
        <f>SUM(D9:E12)</f>
        <v>19180.596082376669</v>
      </c>
      <c r="K5" s="20"/>
      <c r="L5" s="19">
        <f>SUM(D9:G9)</f>
        <v>18104.081082376666</v>
      </c>
      <c r="M5" s="20"/>
    </row>
    <row r="6" spans="2:13" x14ac:dyDescent="0.3">
      <c r="B6" s="12" t="s">
        <v>69</v>
      </c>
      <c r="C6" s="12"/>
      <c r="D6" s="13">
        <f>'example - COST DETAIL'!G79</f>
        <v>300</v>
      </c>
      <c r="E6" s="13"/>
    </row>
    <row r="7" spans="2:13" x14ac:dyDescent="0.3">
      <c r="B7" s="12" t="s">
        <v>98</v>
      </c>
      <c r="C7" s="12"/>
      <c r="D7" s="11">
        <f>'example - COST DETAIL'!G88</f>
        <v>968.6</v>
      </c>
      <c r="E7" s="13"/>
    </row>
    <row r="8" spans="2:13" x14ac:dyDescent="0.3">
      <c r="B8" s="12" t="s">
        <v>99</v>
      </c>
      <c r="C8" s="12"/>
      <c r="D8" s="13">
        <f>'example - COST DETAIL'!E98</f>
        <v>1578</v>
      </c>
      <c r="E8" s="13"/>
    </row>
    <row r="9" spans="2:13" x14ac:dyDescent="0.3">
      <c r="B9" s="17" t="s">
        <v>103</v>
      </c>
      <c r="C9" s="17"/>
      <c r="D9" s="11">
        <f>SUM(D3:E8)</f>
        <v>13689.286262666667</v>
      </c>
      <c r="E9" s="13"/>
      <c r="F9" s="5">
        <f>D9*(0.15)</f>
        <v>2053.3929393999997</v>
      </c>
      <c r="G9" s="5">
        <f>SUM(D9:F9)*(0.15)</f>
        <v>2361.4018803099998</v>
      </c>
    </row>
    <row r="10" spans="2:13" x14ac:dyDescent="0.3">
      <c r="B10" s="12" t="s">
        <v>100</v>
      </c>
      <c r="C10" s="12"/>
      <c r="D10" s="13">
        <f>'example - COST DETAIL'!E105</f>
        <v>814</v>
      </c>
      <c r="E10" s="13"/>
    </row>
    <row r="11" spans="2:13" x14ac:dyDescent="0.3">
      <c r="B11" s="12" t="s">
        <v>101</v>
      </c>
      <c r="C11" s="12"/>
      <c r="D11" s="11">
        <f>SUM(D9:E10)*15/100</f>
        <v>2175.4929394000001</v>
      </c>
      <c r="E11" s="11"/>
    </row>
    <row r="12" spans="2:13" x14ac:dyDescent="0.3">
      <c r="B12" s="12" t="s">
        <v>102</v>
      </c>
      <c r="C12" s="12"/>
      <c r="D12" s="11">
        <f>SUM(D9:E11)*(15%)</f>
        <v>2501.8168803100002</v>
      </c>
      <c r="E12" s="11"/>
    </row>
    <row r="13" spans="2:13" x14ac:dyDescent="0.3">
      <c r="B13" s="15"/>
      <c r="C13" s="15"/>
      <c r="D13" s="16"/>
      <c r="E13" s="15"/>
    </row>
  </sheetData>
  <sheetProtection algorithmName="SHA-512" hashValue="etdYr5i9gGzvWJAXHD6ozbY1TFUycIUqLb4DT93vSyAvfVIy3v8Kp6U5OPKvt08jVG6vLJ8jEC/hB6AoOtSHgA==" saltValue="fVQEVCwLQUh4Ya1mDx+7sQ==" spinCount="100000" sheet="1" objects="1" scenarios="1"/>
  <mergeCells count="28">
    <mergeCell ref="J4:K4"/>
    <mergeCell ref="L4:M4"/>
    <mergeCell ref="J5:K5"/>
    <mergeCell ref="L5:M5"/>
    <mergeCell ref="D2:E2"/>
    <mergeCell ref="B2:C2"/>
    <mergeCell ref="B12:C12"/>
    <mergeCell ref="D12:E12"/>
    <mergeCell ref="B13:C13"/>
    <mergeCell ref="D13:E13"/>
    <mergeCell ref="B9:C9"/>
    <mergeCell ref="D9:E9"/>
    <mergeCell ref="B8:C8"/>
    <mergeCell ref="B10:C10"/>
    <mergeCell ref="B11:C11"/>
    <mergeCell ref="D4:E4"/>
    <mergeCell ref="D5:E5"/>
    <mergeCell ref="D6:E6"/>
    <mergeCell ref="D7:E7"/>
    <mergeCell ref="D8:E8"/>
    <mergeCell ref="D10:E10"/>
    <mergeCell ref="D11:E11"/>
    <mergeCell ref="B3:C3"/>
    <mergeCell ref="D3:E3"/>
    <mergeCell ref="B4:C4"/>
    <mergeCell ref="B5:C5"/>
    <mergeCell ref="B6:C6"/>
    <mergeCell ref="B7:C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- SUMMARY SHEET</vt:lpstr>
      <vt:lpstr>example - COST DETAIL</vt:lpstr>
      <vt:lpstr>example - COST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Jain</dc:creator>
  <cp:lastModifiedBy>Rishi Jain</cp:lastModifiedBy>
  <dcterms:created xsi:type="dcterms:W3CDTF">2026-07-15T09:36:41Z</dcterms:created>
  <dcterms:modified xsi:type="dcterms:W3CDTF">2026-07-26T11:10:51Z</dcterms:modified>
</cp:coreProperties>
</file>